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lintasarta-my.sharepoint.com/personal/ahmad_irfan_lintasarta_co_id/Documents/A Verifikasi FO/Sulsel-2026/"/>
    </mc:Choice>
  </mc:AlternateContent>
  <xr:revisionPtr revIDLastSave="17" documentId="13_ncr:1_{3210B020-D5A4-44C8-859B-484291C1C014}" xr6:coauthVersionLast="47" xr6:coauthVersionMax="47" xr10:uidLastSave="{53E03116-C2A9-4E8A-B0EE-52B7A120F5AA}"/>
  <bookViews>
    <workbookView xWindow="-110" yWindow="-110" windowWidth="19420" windowHeight="11500" activeTab="1" xr2:uid="{00000000-000D-0000-FFFF-FFFF00000000}"/>
  </bookViews>
  <sheets>
    <sheet name="Summary" sheetId="2" r:id="rId1"/>
    <sheet name="boq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C3" i="2"/>
  <c r="B3" i="2"/>
  <c r="A3" i="2"/>
  <c r="H16" i="1"/>
  <c r="H15" i="1"/>
  <c r="G3" i="2" l="1"/>
  <c r="I3" i="2" s="1"/>
  <c r="H13" i="1"/>
  <c r="H14" i="1"/>
  <c r="H12" i="1"/>
  <c r="H11" i="1"/>
  <c r="H8" i="1"/>
  <c r="H10" i="1"/>
  <c r="H9" i="1"/>
</calcChain>
</file>

<file path=xl/sharedStrings.xml><?xml version="1.0" encoding="utf-8"?>
<sst xmlns="http://schemas.openxmlformats.org/spreadsheetml/2006/main" count="64" uniqueCount="53">
  <si>
    <t>Bill of Quantity</t>
  </si>
  <si>
    <t>Nama Project</t>
  </si>
  <si>
    <t>Panjang Jalur KU 12C</t>
  </si>
  <si>
    <t>Meter</t>
  </si>
  <si>
    <t>Panjang Jalur DW 2C</t>
  </si>
  <si>
    <t>Alamat</t>
  </si>
  <si>
    <t>No.</t>
  </si>
  <si>
    <t>Kategori</t>
  </si>
  <si>
    <t>No. KHS</t>
  </si>
  <si>
    <t>Material</t>
  </si>
  <si>
    <t>Qty</t>
  </si>
  <si>
    <t>Satuan</t>
  </si>
  <si>
    <t>Harga Satuan</t>
  </si>
  <si>
    <t>Harga Total</t>
  </si>
  <si>
    <t>SERVICE</t>
  </si>
  <si>
    <t>KHS_SMUO_005_S</t>
  </si>
  <si>
    <t>Pengadaan dan pemasangan Kabel Udara Fiber Optik Single Mode 2 (dua) core G652D Drop Core</t>
  </si>
  <si>
    <t>meter</t>
  </si>
  <si>
    <t>KHS_SMUO_015_S</t>
  </si>
  <si>
    <t>Penyambungan Kabel Optik Single Mode kap 1 core dengan cara fusion splice</t>
  </si>
  <si>
    <t>Core</t>
  </si>
  <si>
    <t>MATERIAL</t>
  </si>
  <si>
    <t>KHS_SMUO_048_M</t>
  </si>
  <si>
    <t>Pengadaan dan Pemasangan  Roset/lndoor Optical Outlet with SC Adaptor - kap 2 port untuk kabel DW berikut pigtail (Exclude Jasa Splice)</t>
  </si>
  <si>
    <t>Unit</t>
  </si>
  <si>
    <t>KHS_SMUO_048_S</t>
  </si>
  <si>
    <t>KHS_SMUO_036_S</t>
  </si>
  <si>
    <t>Pengadaan dan pemasangan ODP Merk PAZ type tiang Kap 8 core berikut space pasive spliter (1:8) adapter SCberikut pelabelan</t>
  </si>
  <si>
    <t>PCS</t>
  </si>
  <si>
    <t>KHS_SMUO_113_S</t>
  </si>
  <si>
    <t>Pasang/Replace/Cabut/aktivasi Modem / ONT</t>
  </si>
  <si>
    <t>KHS_SMUO_106_S</t>
  </si>
  <si>
    <t>Biaya Mover Material  dari Outlet Lintasarta ke lokasi PSB atau Gangguan untuk 1 rit Pickup</t>
  </si>
  <si>
    <t>50 km</t>
  </si>
  <si>
    <t>Total</t>
  </si>
  <si>
    <t>KHS_SMUO_030_S</t>
  </si>
  <si>
    <t>Pengadaan dan Pemasangan OTB  Single mode kap 48 core serta Adapter (SC/LC Connector), pigtail dan protection sleeve pada cassette/box ()Exclude Jasa Splice</t>
  </si>
  <si>
    <t>-5.143349439588899, 119.4772975576448</t>
  </si>
  <si>
    <t>[PASANG_BARU AKSES FIBER_OPTIC PANJANG_JALUR 180 M] 2026509882 CATUR MITRA SEJATI SENTOSA, JL. PERINTIS KEMERDEKAAN, MAKASSAR</t>
  </si>
  <si>
    <t>BOQ Summary</t>
  </si>
  <si>
    <t>NAMA PEKERJAAN</t>
  </si>
  <si>
    <t>PANJANG JALUR FO (M)</t>
  </si>
  <si>
    <t>HARGA MATERIAL</t>
  </si>
  <si>
    <t>HARGA JASA</t>
  </si>
  <si>
    <t>BIAYA KOORDINASI</t>
  </si>
  <si>
    <t>BIAYA IZIN</t>
  </si>
  <si>
    <t>TOTAL HARGA</t>
  </si>
  <si>
    <t>BIAYA IZIN /METER</t>
  </si>
  <si>
    <t>TOTAL HARGA / METER</t>
  </si>
  <si>
    <t>PLANNER &amp; DESIGN CHECK</t>
  </si>
  <si>
    <t>ENGINEER REVIEW</t>
  </si>
  <si>
    <t>Already Checked By William Dwi Atmoko</t>
  </si>
  <si>
    <t>Already Reviewed By Ahmad 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</si>
</sst>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Rp-3809]* #,##0_-;\-[$Rp-3809]* #,##0_-;_-[$Rp-3809]* &quot;-&quot;??_-;_-@_-"/>
    <numFmt numFmtId="165" formatCode="_-* #,##0_-;\-* #,##0_-;_-* &quot;-&quot;_-;_-@_-"/>
    <numFmt numFmtId="166" formatCode="&quot;Rp&quot;#,##0.00;[Red]\-&quot;Rp&quot;#,##0.00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Tahoma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name val="Tahoma"/>
      <charset val="134"/>
    </font>
    <font>
      <b/>
      <sz val="12"/>
      <name val="Garamond"/>
      <charset val="134"/>
    </font>
    <font>
      <b/>
      <u/>
      <sz val="16"/>
      <name val="Tahoma"/>
      <charset val="134"/>
    </font>
    <font>
      <b/>
      <u/>
      <sz val="16"/>
      <name val="Arial"/>
      <charset val="134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u/>
      <sz val="10"/>
      <name val="Tahoma"/>
      <charset val="134"/>
    </font>
    <font>
      <b/>
      <sz val="10"/>
      <name val="Arial"/>
      <charset val="134"/>
    </font>
    <font>
      <b/>
      <sz val="10"/>
      <color rgb="FF000000"/>
      <name val="Arial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845881527146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7" fillId="0" borderId="0">
      <alignment vertical="center"/>
    </xf>
    <xf numFmtId="0" fontId="16" fillId="0" borderId="0"/>
    <xf numFmtId="0" fontId="17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wrapText="1"/>
    </xf>
    <xf numFmtId="0" fontId="17" fillId="0" borderId="0" xfId="2" applyAlignment="1">
      <alignment wrapText="1"/>
    </xf>
    <xf numFmtId="0" fontId="17" fillId="0" borderId="0" xfId="2" applyAlignment="1"/>
    <xf numFmtId="0" fontId="6" fillId="0" borderId="0" xfId="1" applyFont="1"/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7" fillId="2" borderId="0" xfId="3" applyFont="1" applyFill="1" applyAlignment="1">
      <alignment vertical="center"/>
    </xf>
    <xf numFmtId="0" fontId="8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0" fontId="10" fillId="0" borderId="0" xfId="1" applyFont="1" applyAlignment="1">
      <alignment vertical="top" wrapText="1"/>
    </xf>
    <xf numFmtId="0" fontId="11" fillId="3" borderId="2" xfId="0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17" fillId="0" borderId="0" xfId="2">
      <alignment vertical="center"/>
    </xf>
    <xf numFmtId="0" fontId="9" fillId="0" borderId="1" xfId="1" quotePrefix="1" applyFont="1" applyBorder="1" applyAlignment="1">
      <alignment vertical="center"/>
    </xf>
    <xf numFmtId="0" fontId="18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164" fontId="11" fillId="0" borderId="5" xfId="0" applyNumberFormat="1" applyFont="1" applyBorder="1" applyAlignment="1">
      <alignment horizontal="right" vertical="center" wrapText="1"/>
    </xf>
    <xf numFmtId="164" fontId="11" fillId="0" borderId="6" xfId="0" applyNumberFormat="1" applyFont="1" applyBorder="1" applyAlignment="1">
      <alignment horizontal="right" vertical="center" wrapText="1"/>
    </xf>
    <xf numFmtId="0" fontId="19" fillId="0" borderId="1" xfId="4" applyFont="1" applyBorder="1" applyAlignment="1">
      <alignment horizontal="left" vertical="center" wrapText="1"/>
    </xf>
    <xf numFmtId="0" fontId="20" fillId="0" borderId="0" xfId="4" applyFont="1">
      <alignment vertical="center"/>
    </xf>
    <xf numFmtId="0" fontId="19" fillId="0" borderId="3" xfId="4" applyFont="1" applyBorder="1" applyAlignment="1">
      <alignment horizontal="center" vertical="center" wrapText="1"/>
    </xf>
    <xf numFmtId="0" fontId="20" fillId="0" borderId="0" xfId="4" applyFont="1" applyAlignment="1">
      <alignment horizontal="center" vertical="center" wrapText="1"/>
    </xf>
    <xf numFmtId="0" fontId="21" fillId="0" borderId="3" xfId="4" applyFont="1" applyBorder="1" applyAlignment="1">
      <alignment vertical="center" wrapText="1"/>
    </xf>
    <xf numFmtId="1" fontId="21" fillId="0" borderId="3" xfId="4" applyNumberFormat="1" applyFont="1" applyBorder="1" applyAlignment="1">
      <alignment horizontal="center" vertical="center" wrapText="1"/>
    </xf>
    <xf numFmtId="165" fontId="21" fillId="0" borderId="3" xfId="4" applyNumberFormat="1" applyFont="1" applyBorder="1" applyAlignment="1">
      <alignment horizontal="center" vertical="center" wrapText="1"/>
    </xf>
    <xf numFmtId="166" fontId="21" fillId="0" borderId="3" xfId="4" applyNumberFormat="1" applyFont="1" applyBorder="1" applyAlignment="1">
      <alignment horizontal="center" vertical="center" wrapText="1"/>
    </xf>
  </cellXfs>
  <cellStyles count="5">
    <cellStyle name="Normal" xfId="0" builtinId="0"/>
    <cellStyle name="Normal 2 2" xfId="1" xr:uid="{00000000-0005-0000-0000-000031000000}"/>
    <cellStyle name="Normal 2_Final harga Outask periode 1 Nov 2012 sd 31 Okt 2013 R1 2 2" xfId="3" xr:uid="{00000000-0005-0000-0000-000033000000}"/>
    <cellStyle name="Normal 3" xfId="2" xr:uid="{00000000-0005-0000-0000-000032000000}"/>
    <cellStyle name="Normal 3 2" xfId="4" xr:uid="{4A47737F-D27E-420B-9F1E-071B93DFF93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EB1F-0BBF-4498-9EA3-69484AE4CD6D}">
  <dimension ref="A1:K3"/>
  <sheetViews>
    <sheetView zoomScale="85" zoomScaleNormal="85" workbookViewId="0">
      <selection activeCell="E19" sqref="E18:E19"/>
    </sheetView>
  </sheetViews>
  <sheetFormatPr defaultColWidth="8.6328125" defaultRowHeight="13"/>
  <cols>
    <col min="1" max="1" width="40.6328125" style="43" customWidth="1"/>
    <col min="2" max="2" width="11.90625" style="43" customWidth="1"/>
    <col min="3" max="3" width="11.453125" style="43" customWidth="1"/>
    <col min="4" max="4" width="10.90625" style="43" customWidth="1"/>
    <col min="5" max="5" width="11.54296875" style="43" customWidth="1"/>
    <col min="6" max="6" width="13.453125" style="43" bestFit="1" customWidth="1"/>
    <col min="7" max="7" width="15.6328125" style="43" customWidth="1"/>
    <col min="8" max="8" width="11.54296875" style="43" customWidth="1"/>
    <col min="9" max="9" width="13.08984375" style="43" customWidth="1"/>
    <col min="10" max="10" width="14.6328125" style="43" customWidth="1"/>
    <col min="11" max="11" width="16.08984375" style="43" customWidth="1"/>
    <col min="12" max="16384" width="8.6328125" style="43"/>
  </cols>
  <sheetData>
    <row r="1" spans="1:11">
      <c r="A1" s="42" t="s">
        <v>39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s="45" customFormat="1" ht="26">
      <c r="A2" s="44" t="s">
        <v>40</v>
      </c>
      <c r="B2" s="44" t="s">
        <v>41</v>
      </c>
      <c r="C2" s="44" t="s">
        <v>42</v>
      </c>
      <c r="D2" s="44" t="s">
        <v>43</v>
      </c>
      <c r="E2" s="44" t="s">
        <v>44</v>
      </c>
      <c r="F2" s="44" t="s">
        <v>45</v>
      </c>
      <c r="G2" s="44" t="s">
        <v>46</v>
      </c>
      <c r="H2" s="44" t="s">
        <v>47</v>
      </c>
      <c r="I2" s="44" t="s">
        <v>48</v>
      </c>
      <c r="J2" s="44" t="s">
        <v>49</v>
      </c>
      <c r="K2" s="44" t="s">
        <v>50</v>
      </c>
    </row>
    <row r="3" spans="1:11" ht="36.5" customHeight="1">
      <c r="A3" s="46" t="str">
        <f>boq!C3</f>
        <v>[PASANG_BARU AKSES FIBER_OPTIC PANJANG_JALUR 180 M] 2026509882 CATUR MITRA SEJATI SENTOSA, JL. PERINTIS KEMERDEKAAN, MAKASSAR</v>
      </c>
      <c r="B3" s="47">
        <f>boq!C5</f>
        <v>180</v>
      </c>
      <c r="C3" s="48">
        <f>boq!H8</f>
        <v>49100</v>
      </c>
      <c r="D3" s="48">
        <f>SUM(boq!H9:H15)</f>
        <v>1775100</v>
      </c>
      <c r="E3" s="49">
        <v>0</v>
      </c>
      <c r="F3" s="49">
        <v>0</v>
      </c>
      <c r="G3" s="49">
        <f>SUM(C3:F3)</f>
        <v>1824200</v>
      </c>
      <c r="H3" s="49">
        <v>0</v>
      </c>
      <c r="I3" s="49">
        <f>G3/B3</f>
        <v>10134.444444444445</v>
      </c>
      <c r="J3" s="46" t="s">
        <v>51</v>
      </c>
      <c r="K3" s="46" t="s">
        <v>52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6"/>
  <sheetViews>
    <sheetView tabSelected="1" zoomScale="70" zoomScaleNormal="70" workbookViewId="0">
      <selection activeCell="D22" sqref="D22"/>
    </sheetView>
  </sheetViews>
  <sheetFormatPr defaultColWidth="10.36328125" defaultRowHeight="14.5"/>
  <cols>
    <col min="1" max="1" width="8.36328125" style="7" customWidth="1"/>
    <col min="2" max="2" width="12.90625" style="7" customWidth="1"/>
    <col min="3" max="3" width="20.453125" style="7" customWidth="1"/>
    <col min="4" max="4" width="72.08984375" style="7" customWidth="1"/>
    <col min="5" max="5" width="7.6328125" style="7" customWidth="1"/>
    <col min="6" max="6" width="9" style="7" customWidth="1"/>
    <col min="7" max="7" width="19.453125" style="7" customWidth="1"/>
    <col min="8" max="8" width="19.6328125" style="7" customWidth="1"/>
    <col min="9" max="10" width="10.36328125" style="7"/>
    <col min="11" max="11" width="18.6328125" style="7" customWidth="1"/>
    <col min="12" max="12" width="21.6328125" style="7" customWidth="1"/>
    <col min="13" max="16384" width="10.36328125" style="7"/>
  </cols>
  <sheetData>
    <row r="1" spans="1:13 16379:16382" s="1" customFormat="1" ht="15.5">
      <c r="A1" s="8"/>
      <c r="B1" s="8"/>
      <c r="C1" s="8"/>
      <c r="D1" s="8"/>
      <c r="E1" s="8"/>
      <c r="F1" s="9"/>
      <c r="G1" s="10"/>
      <c r="H1" s="10"/>
    </row>
    <row r="2" spans="1:13 16379:16382" s="1" customFormat="1" ht="20">
      <c r="A2" s="11" t="s">
        <v>0</v>
      </c>
      <c r="B2" s="11"/>
      <c r="C2" s="11"/>
      <c r="D2" s="12"/>
      <c r="E2" s="12"/>
      <c r="F2" s="13"/>
      <c r="G2" s="13"/>
      <c r="H2" s="13"/>
    </row>
    <row r="3" spans="1:13 16379:16382" s="2" customFormat="1">
      <c r="A3" s="14" t="s">
        <v>1</v>
      </c>
      <c r="B3" s="14"/>
      <c r="C3" s="38" t="s">
        <v>38</v>
      </c>
      <c r="D3" s="38"/>
      <c r="E3" s="38"/>
      <c r="F3" s="38"/>
      <c r="G3" s="38"/>
      <c r="H3" s="38"/>
      <c r="I3" s="29"/>
      <c r="J3" s="29"/>
      <c r="L3" s="29"/>
      <c r="M3" s="29"/>
    </row>
    <row r="4" spans="1:13 16379:16382" s="3" customFormat="1">
      <c r="A4" s="14" t="s">
        <v>2</v>
      </c>
      <c r="B4" s="14"/>
      <c r="C4" s="15">
        <v>0</v>
      </c>
      <c r="D4" s="15" t="s">
        <v>3</v>
      </c>
      <c r="E4" s="16"/>
      <c r="F4" s="16"/>
      <c r="G4" s="17"/>
      <c r="H4" s="17"/>
      <c r="I4" s="30"/>
      <c r="J4" s="31"/>
      <c r="K4" s="32"/>
    </row>
    <row r="5" spans="1:13 16379:16382" s="3" customFormat="1">
      <c r="A5" s="14" t="s">
        <v>4</v>
      </c>
      <c r="B5" s="14"/>
      <c r="C5" s="15">
        <v>180</v>
      </c>
      <c r="D5" s="15" t="s">
        <v>3</v>
      </c>
      <c r="E5" s="16"/>
      <c r="F5" s="16"/>
      <c r="G5" s="17"/>
      <c r="H5" s="17"/>
      <c r="I5" s="30"/>
      <c r="J5" s="31"/>
      <c r="K5" s="32"/>
    </row>
    <row r="6" spans="1:13 16379:16382" s="4" customFormat="1">
      <c r="A6" s="18" t="s">
        <v>5</v>
      </c>
      <c r="B6" s="18"/>
      <c r="C6" s="35" t="s">
        <v>37</v>
      </c>
      <c r="D6" s="19"/>
      <c r="E6" s="20"/>
      <c r="F6" s="20"/>
      <c r="G6" s="20"/>
      <c r="H6" s="20"/>
      <c r="I6" s="30"/>
      <c r="J6" s="31"/>
      <c r="K6" s="32"/>
      <c r="XEY6" s="34"/>
      <c r="XEZ6" s="34"/>
      <c r="XFA6" s="34"/>
      <c r="XFB6" s="34"/>
    </row>
    <row r="7" spans="1:13 16379:16382" s="5" customFormat="1">
      <c r="A7" s="21" t="s">
        <v>6</v>
      </c>
      <c r="B7" s="21" t="s">
        <v>7</v>
      </c>
      <c r="C7" s="21" t="s">
        <v>8</v>
      </c>
      <c r="D7" s="21" t="s">
        <v>9</v>
      </c>
      <c r="E7" s="21" t="s">
        <v>10</v>
      </c>
      <c r="F7" s="21" t="s">
        <v>11</v>
      </c>
      <c r="G7" s="22" t="s">
        <v>12</v>
      </c>
      <c r="H7" s="22" t="s">
        <v>13</v>
      </c>
    </row>
    <row r="8" spans="1:13 16379:16382" s="6" customFormat="1" ht="29">
      <c r="A8" s="23">
        <v>3</v>
      </c>
      <c r="B8" s="23" t="s">
        <v>21</v>
      </c>
      <c r="C8" s="23" t="s">
        <v>22</v>
      </c>
      <c r="D8" s="27" t="s">
        <v>23</v>
      </c>
      <c r="E8" s="23">
        <v>1</v>
      </c>
      <c r="F8" s="23" t="s">
        <v>24</v>
      </c>
      <c r="G8" s="26">
        <v>49100</v>
      </c>
      <c r="H8" s="26">
        <f>E8*G8</f>
        <v>49100</v>
      </c>
    </row>
    <row r="9" spans="1:13 16379:16382" s="6" customFormat="1" ht="29">
      <c r="A9" s="23">
        <v>1</v>
      </c>
      <c r="B9" s="23" t="s">
        <v>14</v>
      </c>
      <c r="C9" s="23" t="s">
        <v>15</v>
      </c>
      <c r="D9" s="24" t="s">
        <v>16</v>
      </c>
      <c r="E9" s="25">
        <v>250</v>
      </c>
      <c r="F9" s="23" t="s">
        <v>17</v>
      </c>
      <c r="G9" s="26">
        <v>3000</v>
      </c>
      <c r="H9" s="26">
        <f t="shared" ref="H9:H15" si="0">E9*G9</f>
        <v>750000</v>
      </c>
      <c r="K9" s="33"/>
    </row>
    <row r="10" spans="1:13 16379:16382" s="6" customFormat="1">
      <c r="A10" s="23">
        <v>2</v>
      </c>
      <c r="B10" s="23" t="s">
        <v>14</v>
      </c>
      <c r="C10" s="23" t="s">
        <v>18</v>
      </c>
      <c r="D10" s="24" t="s">
        <v>19</v>
      </c>
      <c r="E10" s="23">
        <v>4</v>
      </c>
      <c r="F10" s="23" t="s">
        <v>20</v>
      </c>
      <c r="G10" s="26">
        <v>60400</v>
      </c>
      <c r="H10" s="26">
        <f t="shared" si="0"/>
        <v>241600</v>
      </c>
    </row>
    <row r="11" spans="1:13 16379:16382" s="6" customFormat="1" ht="29">
      <c r="A11" s="23">
        <v>4</v>
      </c>
      <c r="B11" s="23" t="s">
        <v>14</v>
      </c>
      <c r="C11" s="23" t="s">
        <v>25</v>
      </c>
      <c r="D11" s="27" t="s">
        <v>23</v>
      </c>
      <c r="E11" s="23">
        <v>1</v>
      </c>
      <c r="F11" s="23" t="s">
        <v>24</v>
      </c>
      <c r="G11" s="26">
        <v>16600</v>
      </c>
      <c r="H11" s="26">
        <f t="shared" si="0"/>
        <v>16600</v>
      </c>
    </row>
    <row r="12" spans="1:13 16379:16382" s="6" customFormat="1" ht="29">
      <c r="A12" s="23">
        <v>5</v>
      </c>
      <c r="B12" s="23" t="s">
        <v>14</v>
      </c>
      <c r="C12" s="23" t="s">
        <v>26</v>
      </c>
      <c r="D12" s="27" t="s">
        <v>27</v>
      </c>
      <c r="E12" s="23">
        <v>2</v>
      </c>
      <c r="F12" s="23" t="s">
        <v>28</v>
      </c>
      <c r="G12" s="26">
        <v>55500</v>
      </c>
      <c r="H12" s="26">
        <f t="shared" si="0"/>
        <v>111000</v>
      </c>
    </row>
    <row r="13" spans="1:13 16379:16382" s="6" customFormat="1" ht="29">
      <c r="A13" s="23">
        <v>6</v>
      </c>
      <c r="B13" s="37" t="s">
        <v>14</v>
      </c>
      <c r="C13" s="37" t="s">
        <v>35</v>
      </c>
      <c r="D13" s="36" t="s">
        <v>36</v>
      </c>
      <c r="E13" s="23">
        <v>1</v>
      </c>
      <c r="F13" s="23" t="s">
        <v>28</v>
      </c>
      <c r="G13" s="26">
        <v>49900</v>
      </c>
      <c r="H13" s="26">
        <f t="shared" si="0"/>
        <v>49900</v>
      </c>
    </row>
    <row r="14" spans="1:13 16379:16382" s="6" customFormat="1">
      <c r="A14" s="23">
        <v>7</v>
      </c>
      <c r="B14" s="23" t="s">
        <v>14</v>
      </c>
      <c r="C14" s="23" t="s">
        <v>29</v>
      </c>
      <c r="D14" s="27" t="s">
        <v>30</v>
      </c>
      <c r="E14" s="23">
        <v>2</v>
      </c>
      <c r="F14" s="23" t="s">
        <v>24</v>
      </c>
      <c r="G14" s="26">
        <v>55500</v>
      </c>
      <c r="H14" s="26">
        <f t="shared" si="0"/>
        <v>111000</v>
      </c>
    </row>
    <row r="15" spans="1:13 16379:16382" s="6" customFormat="1" ht="29">
      <c r="A15" s="23">
        <v>8</v>
      </c>
      <c r="B15" s="23" t="s">
        <v>14</v>
      </c>
      <c r="C15" s="23" t="s">
        <v>31</v>
      </c>
      <c r="D15" s="24" t="s">
        <v>32</v>
      </c>
      <c r="E15" s="23">
        <v>1</v>
      </c>
      <c r="F15" s="23" t="s">
        <v>33</v>
      </c>
      <c r="G15" s="26">
        <v>495000</v>
      </c>
      <c r="H15" s="26">
        <f t="shared" si="0"/>
        <v>495000</v>
      </c>
    </row>
    <row r="16" spans="1:13 16379:16382">
      <c r="A16" s="39" t="s">
        <v>34</v>
      </c>
      <c r="B16" s="40"/>
      <c r="C16" s="40"/>
      <c r="D16" s="40"/>
      <c r="E16" s="40"/>
      <c r="F16" s="40"/>
      <c r="G16" s="41"/>
      <c r="H16" s="28">
        <f>SUM(H8:H15)</f>
        <v>1824200</v>
      </c>
    </row>
  </sheetData>
  <mergeCells count="2">
    <mergeCell ref="C3:H3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fkg</dc:creator>
  <cp:lastModifiedBy>Ahmad Irfan</cp:lastModifiedBy>
  <dcterms:created xsi:type="dcterms:W3CDTF">2026-03-09T07:58:26Z</dcterms:created>
  <dcterms:modified xsi:type="dcterms:W3CDTF">2026-03-10T01:06:57Z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DB21094C601C44EF8DD2354176B92C39_11</vt:lpwstr>
  </property>
  <property fmtid="{D5CDD505-2E9C-101B-9397-08002B2CF9AE}" pid="3" name="KSOProductBuildVer">
    <vt:lpwstr>1033-12.2.0.23196</vt:lpwstr>
  </property>
</Properties>
</file>